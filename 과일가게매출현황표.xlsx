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ks01\Desktop\코드잇 스프린트 DA17\part1\Excel로_하는_데이터_분석\"/>
    </mc:Choice>
  </mc:AlternateContent>
  <xr:revisionPtr revIDLastSave="0" documentId="13_ncr:1_{6E4D0B4D-816A-4CD1-8A1B-0D66F4B6882F}" xr6:coauthVersionLast="47" xr6:coauthVersionMax="47" xr10:uidLastSave="{00000000-0000-0000-0000-000000000000}"/>
  <bookViews>
    <workbookView xWindow="-19305" yWindow="4800" windowWidth="19410" windowHeight="15585" xr2:uid="{00000000-000D-0000-FFFF-FFFF00000000}"/>
  </bookViews>
  <sheets>
    <sheet name="Sheet1" sheetId="1" r:id="rId1"/>
  </sheets>
  <definedNames>
    <definedName name="_xlnm._FilterDatabase" localSheetId="0" hidden="1">Sheet1!$A$1:$G$23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66LYdpZkIIHksQTq66Hu+C4NdIk1ZENDT4vVZARAPU="/>
    </ext>
  </extLst>
</workbook>
</file>

<file path=xl/calcChain.xml><?xml version="1.0" encoding="utf-8"?>
<calcChain xmlns="http://schemas.openxmlformats.org/spreadsheetml/2006/main">
  <c r="I28" i="1" l="1"/>
  <c r="B28" i="1"/>
  <c r="I27" i="1"/>
  <c r="B27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" i="1"/>
  <c r="I2" i="1" s="1"/>
  <c r="G2" i="1"/>
  <c r="G20" i="1"/>
  <c r="G3" i="1"/>
  <c r="G22" i="1"/>
  <c r="G15" i="1"/>
  <c r="G10" i="1"/>
  <c r="G19" i="1"/>
  <c r="G16" i="1"/>
  <c r="G6" i="1"/>
  <c r="G21" i="1"/>
  <c r="G17" i="1"/>
  <c r="G9" i="1"/>
  <c r="G8" i="1"/>
  <c r="G12" i="1"/>
  <c r="G4" i="1"/>
  <c r="G23" i="1"/>
  <c r="G18" i="1"/>
  <c r="G11" i="1"/>
  <c r="G5" i="1"/>
  <c r="G14" i="1"/>
  <c r="G13" i="1"/>
  <c r="G7" i="1"/>
</calcChain>
</file>

<file path=xl/sharedStrings.xml><?xml version="1.0" encoding="utf-8"?>
<sst xmlns="http://schemas.openxmlformats.org/spreadsheetml/2006/main" count="83" uniqueCount="28">
  <si>
    <t>날짜</t>
  </si>
  <si>
    <t>거래처</t>
  </si>
  <si>
    <t>과일</t>
  </si>
  <si>
    <t>단가(원)</t>
  </si>
  <si>
    <t>수량</t>
  </si>
  <si>
    <t>매출액(원)</t>
  </si>
  <si>
    <t>월</t>
  </si>
  <si>
    <t>합계 : 매출액(원)</t>
  </si>
  <si>
    <t>A</t>
  </si>
  <si>
    <t>사과</t>
  </si>
  <si>
    <t>1월</t>
  </si>
  <si>
    <t>2월</t>
  </si>
  <si>
    <t>3월</t>
  </si>
  <si>
    <t>총</t>
  </si>
  <si>
    <t>B</t>
  </si>
  <si>
    <t>복숭아</t>
  </si>
  <si>
    <t>C</t>
  </si>
  <si>
    <t>포도</t>
  </si>
  <si>
    <t>참외</t>
  </si>
  <si>
    <t>D</t>
  </si>
  <si>
    <t>단가표</t>
  </si>
  <si>
    <t>매출액</t>
    <phoneticPr fontId="4" type="noConversion"/>
  </si>
  <si>
    <t>적립율</t>
    <phoneticPr fontId="4" type="noConversion"/>
  </si>
  <si>
    <t>적립금</t>
    <phoneticPr fontId="4" type="noConversion"/>
  </si>
  <si>
    <r>
      <t>6</t>
    </r>
    <r>
      <rPr>
        <sz val="11"/>
        <color theme="1"/>
        <rFont val="맑은 고딕"/>
        <family val="3"/>
        <charset val="129"/>
      </rPr>
      <t>개 이상 주문 건수</t>
    </r>
    <phoneticPr fontId="4" type="noConversion"/>
  </si>
  <si>
    <r>
      <t>6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이상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주문, 1200원 이상 단가 개수</t>
    </r>
    <phoneticPr fontId="4" type="noConversion"/>
  </si>
  <si>
    <r>
      <t>A</t>
    </r>
    <r>
      <rPr>
        <sz val="11"/>
        <color theme="1"/>
        <rFont val="맑은 고딕"/>
        <family val="3"/>
        <charset val="129"/>
      </rPr>
      <t>의 매출액 합계</t>
    </r>
    <phoneticPr fontId="4" type="noConversion"/>
  </si>
  <si>
    <r>
      <t>A</t>
    </r>
    <r>
      <rPr>
        <sz val="11"/>
        <color theme="1"/>
        <rFont val="맑은 고딕"/>
        <family val="3"/>
        <charset val="129"/>
      </rPr>
      <t>에게 판매한 포도의 매출액 합계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</si>
</sst>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115" zoomScaleNormal="115" workbookViewId="0">
      <selection activeCell="H20" sqref="H20"/>
    </sheetView>
  </sheetViews>
  <sheetFormatPr defaultColWidth="12.5703125" defaultRowHeight="15" customHeight="1"/>
  <cols>
    <col min="1" max="1" width="21" bestFit="1" customWidth="1"/>
    <col min="2" max="3" width="8.140625" bestFit="1" customWidth="1"/>
    <col min="4" max="4" width="9.5703125" bestFit="1" customWidth="1"/>
    <col min="5" max="5" width="6" customWidth="1"/>
    <col min="6" max="6" width="11.85546875" bestFit="1" customWidth="1"/>
    <col min="7" max="19" width="7.5703125" customWidth="1"/>
    <col min="20" max="20" width="7.42578125" customWidth="1"/>
    <col min="21" max="31" width="7.5703125" customWidth="1"/>
  </cols>
  <sheetData>
    <row r="1" spans="1:18" ht="16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21</v>
      </c>
      <c r="I1" s="14" t="s">
        <v>23</v>
      </c>
      <c r="J1" s="6"/>
      <c r="K1" s="6"/>
      <c r="L1" s="6"/>
      <c r="O1" s="8" t="s">
        <v>7</v>
      </c>
      <c r="P1" s="9"/>
      <c r="Q1" s="9"/>
      <c r="R1" s="9"/>
    </row>
    <row r="2" spans="1:18" ht="16.5" customHeight="1">
      <c r="A2" s="15">
        <v>45381</v>
      </c>
      <c r="B2" s="16" t="s">
        <v>8</v>
      </c>
      <c r="C2" s="16" t="s">
        <v>17</v>
      </c>
      <c r="D2" s="16">
        <v>1000</v>
      </c>
      <c r="E2" s="16">
        <v>4</v>
      </c>
      <c r="F2" s="16">
        <v>4000</v>
      </c>
      <c r="G2" s="16">
        <f t="shared" ref="G2:G23" si="0">MONTH(A2)</f>
        <v>3</v>
      </c>
      <c r="H2" s="16">
        <f>D2*E2</f>
        <v>4000</v>
      </c>
      <c r="I2" s="16">
        <f>H2*$L$2</f>
        <v>400</v>
      </c>
      <c r="J2" s="5"/>
      <c r="K2" s="7" t="s">
        <v>22</v>
      </c>
      <c r="L2" s="5">
        <v>0.1</v>
      </c>
      <c r="M2" s="5"/>
      <c r="N2" s="2" t="s">
        <v>2</v>
      </c>
      <c r="O2" s="2" t="s">
        <v>10</v>
      </c>
      <c r="P2" s="2" t="s">
        <v>11</v>
      </c>
      <c r="Q2" s="2" t="s">
        <v>12</v>
      </c>
      <c r="R2" s="2" t="s">
        <v>13</v>
      </c>
    </row>
    <row r="3" spans="1:18" ht="16.5" customHeight="1">
      <c r="A3" s="15">
        <v>45373</v>
      </c>
      <c r="B3" s="16" t="s">
        <v>8</v>
      </c>
      <c r="C3" s="16" t="s">
        <v>17</v>
      </c>
      <c r="D3" s="16">
        <v>1000</v>
      </c>
      <c r="E3" s="16">
        <v>7</v>
      </c>
      <c r="F3" s="16">
        <v>7000</v>
      </c>
      <c r="G3" s="16">
        <f t="shared" si="0"/>
        <v>3</v>
      </c>
      <c r="H3" s="16">
        <f t="shared" ref="H3:H23" si="1">D3*E3</f>
        <v>7000</v>
      </c>
      <c r="I3" s="16">
        <f t="shared" ref="I3:I23" si="2">H3*$L$2</f>
        <v>700</v>
      </c>
      <c r="J3" s="5"/>
      <c r="K3" s="5"/>
      <c r="L3" s="5"/>
      <c r="N3" s="2" t="s">
        <v>9</v>
      </c>
      <c r="O3" s="1">
        <v>9600</v>
      </c>
      <c r="P3" s="1">
        <v>3600</v>
      </c>
      <c r="Q3" s="1">
        <v>19200</v>
      </c>
      <c r="R3" s="1">
        <v>32400</v>
      </c>
    </row>
    <row r="4" spans="1:18" ht="16.5" customHeight="1">
      <c r="A4" s="15">
        <v>45331</v>
      </c>
      <c r="B4" s="16" t="s">
        <v>8</v>
      </c>
      <c r="C4" s="16" t="s">
        <v>17</v>
      </c>
      <c r="D4" s="16">
        <v>1000</v>
      </c>
      <c r="E4" s="16">
        <v>8</v>
      </c>
      <c r="F4" s="16">
        <v>8000</v>
      </c>
      <c r="G4" s="16">
        <f t="shared" si="0"/>
        <v>2</v>
      </c>
      <c r="H4" s="16">
        <f t="shared" si="1"/>
        <v>8000</v>
      </c>
      <c r="I4" s="16">
        <f t="shared" si="2"/>
        <v>800</v>
      </c>
      <c r="J4" s="5"/>
      <c r="K4" s="5"/>
      <c r="L4" s="5"/>
      <c r="N4" s="2" t="s">
        <v>15</v>
      </c>
      <c r="O4" s="1">
        <v>9000</v>
      </c>
      <c r="P4" s="1">
        <v>52500</v>
      </c>
      <c r="Q4" s="1">
        <v>7500</v>
      </c>
      <c r="R4" s="1">
        <v>69000</v>
      </c>
    </row>
    <row r="5" spans="1:18" ht="16.5" customHeight="1">
      <c r="A5" s="15">
        <v>45308</v>
      </c>
      <c r="B5" s="16" t="s">
        <v>8</v>
      </c>
      <c r="C5" s="16" t="s">
        <v>17</v>
      </c>
      <c r="D5" s="16">
        <v>1000</v>
      </c>
      <c r="E5" s="16">
        <v>2</v>
      </c>
      <c r="F5" s="16">
        <v>2000</v>
      </c>
      <c r="G5" s="16">
        <f t="shared" si="0"/>
        <v>1</v>
      </c>
      <c r="H5" s="16">
        <f t="shared" si="1"/>
        <v>2000</v>
      </c>
      <c r="I5" s="16">
        <f t="shared" si="2"/>
        <v>200</v>
      </c>
      <c r="J5" s="5"/>
      <c r="K5" s="5"/>
      <c r="L5" s="5"/>
      <c r="N5" s="2" t="s">
        <v>18</v>
      </c>
      <c r="O5" s="1">
        <v>0</v>
      </c>
      <c r="P5" s="1">
        <v>0</v>
      </c>
      <c r="Q5" s="1">
        <v>16900</v>
      </c>
      <c r="R5" s="1">
        <v>16900</v>
      </c>
    </row>
    <row r="6" spans="1:18" ht="16.5" customHeight="1">
      <c r="A6" s="15">
        <v>45354</v>
      </c>
      <c r="B6" s="16" t="s">
        <v>8</v>
      </c>
      <c r="C6" s="16" t="s">
        <v>18</v>
      </c>
      <c r="D6" s="16">
        <v>1300</v>
      </c>
      <c r="E6" s="16">
        <v>7</v>
      </c>
      <c r="F6" s="16">
        <v>9100</v>
      </c>
      <c r="G6" s="16">
        <f t="shared" si="0"/>
        <v>3</v>
      </c>
      <c r="H6" s="16">
        <f t="shared" si="1"/>
        <v>9100</v>
      </c>
      <c r="I6" s="16">
        <f t="shared" si="2"/>
        <v>910</v>
      </c>
      <c r="J6" s="5"/>
      <c r="K6" s="5"/>
      <c r="L6" s="5"/>
      <c r="N6" s="2" t="s">
        <v>17</v>
      </c>
      <c r="O6" s="1">
        <v>7000</v>
      </c>
      <c r="P6" s="1">
        <v>12000</v>
      </c>
      <c r="Q6" s="1">
        <v>16000</v>
      </c>
      <c r="R6" s="1">
        <v>35000</v>
      </c>
    </row>
    <row r="7" spans="1:18" ht="16.5" customHeight="1">
      <c r="A7" s="15">
        <v>45295</v>
      </c>
      <c r="B7" s="16" t="s">
        <v>8</v>
      </c>
      <c r="C7" s="16" t="s">
        <v>9</v>
      </c>
      <c r="D7" s="16">
        <v>1200</v>
      </c>
      <c r="E7" s="16">
        <v>4</v>
      </c>
      <c r="F7" s="16">
        <v>4800</v>
      </c>
      <c r="G7" s="16">
        <f t="shared" si="0"/>
        <v>1</v>
      </c>
      <c r="H7" s="16">
        <f t="shared" si="1"/>
        <v>4800</v>
      </c>
      <c r="I7" s="16">
        <f t="shared" si="2"/>
        <v>480</v>
      </c>
      <c r="J7" s="5"/>
      <c r="K7" s="5"/>
      <c r="L7" s="5"/>
      <c r="N7" s="2" t="s">
        <v>13</v>
      </c>
      <c r="O7" s="1">
        <v>25600</v>
      </c>
      <c r="P7" s="1">
        <v>68100</v>
      </c>
      <c r="Q7" s="1">
        <v>59600</v>
      </c>
      <c r="R7" s="1">
        <v>153300</v>
      </c>
    </row>
    <row r="8" spans="1:18" ht="16.5" customHeight="1">
      <c r="A8" s="15">
        <v>45339</v>
      </c>
      <c r="B8" s="16" t="s">
        <v>8</v>
      </c>
      <c r="C8" s="16" t="s">
        <v>15</v>
      </c>
      <c r="D8" s="16">
        <v>1500</v>
      </c>
      <c r="E8" s="16">
        <v>8</v>
      </c>
      <c r="F8" s="16">
        <v>12000</v>
      </c>
      <c r="G8" s="16">
        <f t="shared" si="0"/>
        <v>2</v>
      </c>
      <c r="H8" s="16">
        <f t="shared" si="1"/>
        <v>12000</v>
      </c>
      <c r="I8" s="16">
        <f t="shared" si="2"/>
        <v>1200</v>
      </c>
      <c r="J8" s="5"/>
      <c r="K8" s="5"/>
      <c r="L8" s="5"/>
    </row>
    <row r="9" spans="1:18" ht="16.5" customHeight="1">
      <c r="A9" s="15">
        <v>45340</v>
      </c>
      <c r="B9" s="16" t="s">
        <v>14</v>
      </c>
      <c r="C9" s="16" t="s">
        <v>17</v>
      </c>
      <c r="D9" s="16">
        <v>1000</v>
      </c>
      <c r="E9" s="16">
        <v>4</v>
      </c>
      <c r="F9" s="16">
        <v>4000</v>
      </c>
      <c r="G9" s="16">
        <f t="shared" si="0"/>
        <v>2</v>
      </c>
      <c r="H9" s="16">
        <f t="shared" si="1"/>
        <v>4000</v>
      </c>
      <c r="I9" s="16">
        <f t="shared" si="2"/>
        <v>400</v>
      </c>
      <c r="J9" s="5"/>
      <c r="K9" s="5"/>
      <c r="L9" s="5"/>
    </row>
    <row r="10" spans="1:18" ht="16.5" customHeight="1">
      <c r="A10" s="15">
        <v>45367</v>
      </c>
      <c r="B10" s="16" t="s">
        <v>14</v>
      </c>
      <c r="C10" s="16" t="s">
        <v>18</v>
      </c>
      <c r="D10" s="16">
        <v>1300</v>
      </c>
      <c r="E10" s="16">
        <v>6</v>
      </c>
      <c r="F10" s="16">
        <v>7800</v>
      </c>
      <c r="G10" s="16">
        <f t="shared" si="0"/>
        <v>3</v>
      </c>
      <c r="H10" s="16">
        <f t="shared" si="1"/>
        <v>7800</v>
      </c>
      <c r="I10" s="16">
        <f t="shared" si="2"/>
        <v>780</v>
      </c>
      <c r="J10" s="5"/>
      <c r="K10" s="5"/>
      <c r="L10" s="5"/>
    </row>
    <row r="11" spans="1:18" ht="16.5" customHeight="1">
      <c r="A11" s="15">
        <v>45315</v>
      </c>
      <c r="B11" s="16" t="s">
        <v>14</v>
      </c>
      <c r="C11" s="16" t="s">
        <v>9</v>
      </c>
      <c r="D11" s="16">
        <v>1200</v>
      </c>
      <c r="E11" s="16">
        <v>4</v>
      </c>
      <c r="F11" s="16">
        <v>4800</v>
      </c>
      <c r="G11" s="16">
        <f t="shared" si="0"/>
        <v>1</v>
      </c>
      <c r="H11" s="16">
        <f t="shared" si="1"/>
        <v>4800</v>
      </c>
      <c r="I11" s="16">
        <f t="shared" si="2"/>
        <v>480</v>
      </c>
      <c r="J11" s="5"/>
      <c r="K11" s="5"/>
      <c r="L11" s="5"/>
      <c r="N11" s="10" t="s">
        <v>20</v>
      </c>
      <c r="O11" s="9"/>
    </row>
    <row r="12" spans="1:18" ht="16.5" customHeight="1">
      <c r="A12" s="15">
        <v>45332</v>
      </c>
      <c r="B12" s="16" t="s">
        <v>14</v>
      </c>
      <c r="C12" s="16" t="s">
        <v>15</v>
      </c>
      <c r="D12" s="16">
        <v>1500</v>
      </c>
      <c r="E12" s="16">
        <v>10</v>
      </c>
      <c r="F12" s="16">
        <v>15000</v>
      </c>
      <c r="G12" s="16">
        <f t="shared" si="0"/>
        <v>2</v>
      </c>
      <c r="H12" s="16">
        <f t="shared" si="1"/>
        <v>15000</v>
      </c>
      <c r="I12" s="16">
        <f t="shared" si="2"/>
        <v>1500</v>
      </c>
      <c r="J12" s="5"/>
      <c r="K12" s="5"/>
      <c r="L12" s="5"/>
      <c r="N12" s="3" t="s">
        <v>2</v>
      </c>
      <c r="O12" s="3" t="s">
        <v>3</v>
      </c>
    </row>
    <row r="13" spans="1:18" ht="16.5" customHeight="1">
      <c r="A13" s="15">
        <v>45296</v>
      </c>
      <c r="B13" s="16" t="s">
        <v>14</v>
      </c>
      <c r="C13" s="16" t="s">
        <v>15</v>
      </c>
      <c r="D13" s="16">
        <v>1500</v>
      </c>
      <c r="E13" s="16">
        <v>6</v>
      </c>
      <c r="F13" s="16">
        <v>9000</v>
      </c>
      <c r="G13" s="16">
        <f t="shared" si="0"/>
        <v>1</v>
      </c>
      <c r="H13" s="16">
        <f t="shared" si="1"/>
        <v>9000</v>
      </c>
      <c r="I13" s="16">
        <f t="shared" si="2"/>
        <v>900</v>
      </c>
      <c r="J13" s="5"/>
      <c r="K13" s="5"/>
      <c r="L13" s="5"/>
      <c r="N13" s="3" t="s">
        <v>9</v>
      </c>
      <c r="O13" s="4">
        <v>1200</v>
      </c>
    </row>
    <row r="14" spans="1:18" ht="16.5" customHeight="1">
      <c r="A14" s="15">
        <v>45299</v>
      </c>
      <c r="B14" s="16" t="s">
        <v>16</v>
      </c>
      <c r="C14" s="16" t="s">
        <v>17</v>
      </c>
      <c r="D14" s="16">
        <v>1000</v>
      </c>
      <c r="E14" s="16">
        <v>5</v>
      </c>
      <c r="F14" s="16">
        <v>5000</v>
      </c>
      <c r="G14" s="16">
        <f t="shared" si="0"/>
        <v>1</v>
      </c>
      <c r="H14" s="16">
        <f t="shared" si="1"/>
        <v>5000</v>
      </c>
      <c r="I14" s="16">
        <f t="shared" si="2"/>
        <v>500</v>
      </c>
      <c r="J14" s="5"/>
      <c r="K14" s="5"/>
      <c r="L14" s="5"/>
      <c r="N14" s="3" t="s">
        <v>15</v>
      </c>
      <c r="O14" s="4">
        <v>1500</v>
      </c>
    </row>
    <row r="15" spans="1:18" ht="16.5" customHeight="1">
      <c r="A15" s="15">
        <v>45370</v>
      </c>
      <c r="B15" s="16" t="s">
        <v>16</v>
      </c>
      <c r="C15" s="16" t="s">
        <v>9</v>
      </c>
      <c r="D15" s="16">
        <v>1200</v>
      </c>
      <c r="E15" s="16">
        <v>4</v>
      </c>
      <c r="F15" s="16">
        <v>4800</v>
      </c>
      <c r="G15" s="16">
        <f t="shared" si="0"/>
        <v>3</v>
      </c>
      <c r="H15" s="16">
        <f t="shared" si="1"/>
        <v>4800</v>
      </c>
      <c r="I15" s="16">
        <f t="shared" si="2"/>
        <v>480</v>
      </c>
      <c r="J15" s="5"/>
      <c r="K15" s="5"/>
      <c r="L15" s="5"/>
      <c r="N15" s="3" t="s">
        <v>17</v>
      </c>
      <c r="O15" s="4">
        <v>1000</v>
      </c>
    </row>
    <row r="16" spans="1:18" ht="16.5" customHeight="1">
      <c r="A16" s="15">
        <v>45362</v>
      </c>
      <c r="B16" s="16" t="s">
        <v>16</v>
      </c>
      <c r="C16" s="16" t="s">
        <v>9</v>
      </c>
      <c r="D16" s="16">
        <v>1200</v>
      </c>
      <c r="E16" s="16">
        <v>7</v>
      </c>
      <c r="F16" s="16">
        <v>8400</v>
      </c>
      <c r="G16" s="16">
        <f t="shared" si="0"/>
        <v>3</v>
      </c>
      <c r="H16" s="16">
        <f t="shared" si="1"/>
        <v>8400</v>
      </c>
      <c r="I16" s="16">
        <f t="shared" si="2"/>
        <v>840</v>
      </c>
      <c r="J16" s="5"/>
      <c r="K16" s="5"/>
      <c r="L16" s="5"/>
      <c r="N16" s="3" t="s">
        <v>18</v>
      </c>
      <c r="O16" s="4">
        <v>1300</v>
      </c>
    </row>
    <row r="17" spans="1:19" ht="16.5" customHeight="1">
      <c r="A17" s="15">
        <v>45343</v>
      </c>
      <c r="B17" s="16" t="s">
        <v>16</v>
      </c>
      <c r="C17" s="16" t="s">
        <v>15</v>
      </c>
      <c r="D17" s="16">
        <v>1500</v>
      </c>
      <c r="E17" s="16">
        <v>5</v>
      </c>
      <c r="F17" s="16">
        <v>7500</v>
      </c>
      <c r="G17" s="16">
        <f t="shared" si="0"/>
        <v>2</v>
      </c>
      <c r="H17" s="16">
        <f t="shared" si="1"/>
        <v>7500</v>
      </c>
      <c r="I17" s="16">
        <f t="shared" si="2"/>
        <v>750</v>
      </c>
      <c r="J17" s="5"/>
      <c r="K17" s="5"/>
      <c r="L17" s="5"/>
    </row>
    <row r="18" spans="1:19" ht="16.5" customHeight="1">
      <c r="A18" s="15">
        <v>45324</v>
      </c>
      <c r="B18" s="16" t="s">
        <v>16</v>
      </c>
      <c r="C18" s="16" t="s">
        <v>15</v>
      </c>
      <c r="D18" s="16">
        <v>1500</v>
      </c>
      <c r="E18" s="16">
        <v>3</v>
      </c>
      <c r="F18" s="16">
        <v>4500</v>
      </c>
      <c r="G18" s="16">
        <f t="shared" si="0"/>
        <v>2</v>
      </c>
      <c r="H18" s="16">
        <f t="shared" si="1"/>
        <v>4500</v>
      </c>
      <c r="I18" s="16">
        <f t="shared" si="2"/>
        <v>450</v>
      </c>
      <c r="J18" s="5"/>
      <c r="K18" s="5"/>
      <c r="L18" s="5"/>
    </row>
    <row r="19" spans="1:19" ht="16.5" customHeight="1">
      <c r="A19" s="15">
        <v>45365</v>
      </c>
      <c r="B19" s="16" t="s">
        <v>19</v>
      </c>
      <c r="C19" s="16" t="s">
        <v>17</v>
      </c>
      <c r="D19" s="16">
        <v>1000</v>
      </c>
      <c r="E19" s="16">
        <v>5</v>
      </c>
      <c r="F19" s="16">
        <v>5000</v>
      </c>
      <c r="G19" s="16">
        <f t="shared" si="0"/>
        <v>3</v>
      </c>
      <c r="H19" s="16">
        <f t="shared" si="1"/>
        <v>5000</v>
      </c>
      <c r="I19" s="16">
        <f t="shared" si="2"/>
        <v>500</v>
      </c>
      <c r="J19" s="5"/>
      <c r="K19" s="5"/>
      <c r="L19" s="5"/>
      <c r="N19" s="10" t="s">
        <v>20</v>
      </c>
      <c r="O19" s="3" t="s">
        <v>2</v>
      </c>
      <c r="P19" s="3" t="s">
        <v>9</v>
      </c>
      <c r="Q19" s="3" t="s">
        <v>15</v>
      </c>
      <c r="R19" s="3" t="s">
        <v>17</v>
      </c>
      <c r="S19" s="3" t="s">
        <v>18</v>
      </c>
    </row>
    <row r="20" spans="1:19" ht="16.5" customHeight="1">
      <c r="A20" s="15">
        <v>45377</v>
      </c>
      <c r="B20" s="16" t="s">
        <v>19</v>
      </c>
      <c r="C20" s="16" t="s">
        <v>9</v>
      </c>
      <c r="D20" s="16">
        <v>1200</v>
      </c>
      <c r="E20" s="16">
        <v>5</v>
      </c>
      <c r="F20" s="16">
        <v>6000</v>
      </c>
      <c r="G20" s="16">
        <f t="shared" si="0"/>
        <v>3</v>
      </c>
      <c r="H20" s="16">
        <f t="shared" si="1"/>
        <v>6000</v>
      </c>
      <c r="I20" s="16">
        <f t="shared" si="2"/>
        <v>600</v>
      </c>
      <c r="J20" s="5"/>
      <c r="K20" s="5"/>
      <c r="L20" s="5"/>
      <c r="N20" s="9"/>
      <c r="O20" s="3" t="s">
        <v>3</v>
      </c>
      <c r="P20" s="4">
        <v>1200</v>
      </c>
      <c r="Q20" s="4">
        <v>1500</v>
      </c>
      <c r="R20" s="4">
        <v>1000</v>
      </c>
      <c r="S20" s="4">
        <v>1300</v>
      </c>
    </row>
    <row r="21" spans="1:19" ht="16.5" customHeight="1">
      <c r="A21" s="15">
        <v>45349</v>
      </c>
      <c r="B21" s="16" t="s">
        <v>19</v>
      </c>
      <c r="C21" s="16" t="s">
        <v>9</v>
      </c>
      <c r="D21" s="16">
        <v>1200</v>
      </c>
      <c r="E21" s="16">
        <v>3</v>
      </c>
      <c r="F21" s="16">
        <v>3600</v>
      </c>
      <c r="G21" s="16">
        <f t="shared" si="0"/>
        <v>2</v>
      </c>
      <c r="H21" s="16">
        <f t="shared" si="1"/>
        <v>3600</v>
      </c>
      <c r="I21" s="16">
        <f t="shared" si="2"/>
        <v>360</v>
      </c>
      <c r="J21" s="5"/>
      <c r="K21" s="5"/>
      <c r="L21" s="5"/>
    </row>
    <row r="22" spans="1:19" ht="16.5" customHeight="1">
      <c r="A22" s="15">
        <v>45371</v>
      </c>
      <c r="B22" s="16" t="s">
        <v>19</v>
      </c>
      <c r="C22" s="16" t="s">
        <v>15</v>
      </c>
      <c r="D22" s="16">
        <v>1500</v>
      </c>
      <c r="E22" s="16">
        <v>5</v>
      </c>
      <c r="F22" s="16">
        <v>7500</v>
      </c>
      <c r="G22" s="16">
        <f t="shared" si="0"/>
        <v>3</v>
      </c>
      <c r="H22" s="16">
        <f t="shared" si="1"/>
        <v>7500</v>
      </c>
      <c r="I22" s="16">
        <f t="shared" si="2"/>
        <v>750</v>
      </c>
      <c r="J22" s="5"/>
      <c r="K22" s="5"/>
      <c r="L22" s="5"/>
    </row>
    <row r="23" spans="1:19" ht="16.5" customHeight="1">
      <c r="A23" s="15">
        <v>45328</v>
      </c>
      <c r="B23" s="16" t="s">
        <v>19</v>
      </c>
      <c r="C23" s="16" t="s">
        <v>15</v>
      </c>
      <c r="D23" s="16">
        <v>1500</v>
      </c>
      <c r="E23" s="16">
        <v>9</v>
      </c>
      <c r="F23" s="16">
        <v>13500</v>
      </c>
      <c r="G23" s="16">
        <f t="shared" si="0"/>
        <v>2</v>
      </c>
      <c r="H23" s="16">
        <f t="shared" si="1"/>
        <v>13500</v>
      </c>
      <c r="I23" s="16">
        <f t="shared" si="2"/>
        <v>1350</v>
      </c>
      <c r="J23" s="5"/>
      <c r="K23" s="5"/>
      <c r="L23" s="5"/>
    </row>
    <row r="24" spans="1:19" ht="16.5" customHeight="1"/>
    <row r="25" spans="1:19" ht="16.5" customHeight="1"/>
    <row r="26" spans="1:19" ht="16.5" customHeight="1"/>
    <row r="27" spans="1:19" ht="16.5" customHeight="1">
      <c r="A27" s="11" t="s">
        <v>24</v>
      </c>
      <c r="B27">
        <f>COUNTIF(E2:E23,"&gt;=6")</f>
        <v>9</v>
      </c>
      <c r="D27" s="11" t="s">
        <v>25</v>
      </c>
      <c r="I27">
        <f>COUNTIFS(E2:E23,"&gt;=6",D2:D23,"&gt;=1200")</f>
        <v>7</v>
      </c>
    </row>
    <row r="28" spans="1:19" ht="16.5" customHeight="1">
      <c r="A28" s="12" t="s">
        <v>26</v>
      </c>
      <c r="B28">
        <f>SUMIF(B2:B23,"A",F2:F23)</f>
        <v>46900</v>
      </c>
      <c r="D28" s="11" t="s">
        <v>27</v>
      </c>
      <c r="I28">
        <f>SUMIFS(F2:F23,B2:B23,"A",C2:C23,"포도")</f>
        <v>21000</v>
      </c>
    </row>
    <row r="29" spans="1:19" ht="16.5" customHeight="1"/>
    <row r="30" spans="1:19" ht="16.5" customHeight="1"/>
    <row r="31" spans="1:19" ht="16.5" customHeight="1"/>
    <row r="32" spans="1:19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1:G23" xr:uid="{00000000-0001-0000-0000-000000000000}">
    <sortState xmlns:xlrd2="http://schemas.microsoft.com/office/spreadsheetml/2017/richdata2" ref="A2:G23">
      <sortCondition ref="B1:B23"/>
    </sortState>
  </autoFilter>
  <sortState xmlns:xlrd2="http://schemas.microsoft.com/office/spreadsheetml/2017/richdata2" ref="A2:G23">
    <sortCondition ref="B2:B23"/>
    <sortCondition ref="C2:C23"/>
  </sortState>
  <mergeCells count="3">
    <mergeCell ref="O1:R1"/>
    <mergeCell ref="N11:O11"/>
    <mergeCell ref="N19:N20"/>
  </mergeCells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희경</dc:creator>
  <cp:lastModifiedBy>김규성</cp:lastModifiedBy>
  <dcterms:created xsi:type="dcterms:W3CDTF">2024-06-24T12:38:51Z</dcterms:created>
  <dcterms:modified xsi:type="dcterms:W3CDTF">2026-06-30T08:04:31Z</dcterms:modified>
</cp:coreProperties>
</file>
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ks01\Desktop\코드잇 스프린트 DA17\part1\Excel로_하는_데이터_분석\"/>
    </mc:Choice>
  </mc:AlternateContent>
  <xr:revisionPtr revIDLastSave="0" documentId="13_ncr:1_{BBFE14AF-C083-4259-A841-75277335E379}" xr6:coauthVersionLast="47" xr6:coauthVersionMax="47" xr10:uidLastSave="{00000000-0000-0000-0000-000000000000}"/>
  <bookViews>
    <workbookView xWindow="-18255" yWindow="4800" windowWidth="1836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AV1yDphSk7iVDefzZVXoIhl5tKeYMutVcTDRq57Q4o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J10" i="1" s="1"/>
  <c r="K10" i="1" s="1"/>
  <c r="I11" i="1"/>
  <c r="J11" i="1" s="1"/>
  <c r="K11" i="1" s="1"/>
  <c r="I12" i="1"/>
  <c r="J2" i="1" s="1"/>
  <c r="I13" i="1"/>
  <c r="J13" i="1" s="1"/>
  <c r="K13" i="1" s="1"/>
  <c r="I14" i="1"/>
  <c r="J14" i="1" s="1"/>
  <c r="K14" i="1" s="1"/>
  <c r="I15" i="1"/>
  <c r="I2" i="1"/>
  <c r="J8" i="1"/>
  <c r="K8" i="1" s="1"/>
  <c r="J9" i="1"/>
  <c r="K9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F15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K2" i="1" l="1"/>
  <c r="J7" i="1"/>
  <c r="K7" i="1" s="1"/>
  <c r="J5" i="1"/>
  <c r="K5" i="1" s="1"/>
  <c r="J4" i="1"/>
  <c r="K4" i="1" s="1"/>
  <c r="J6" i="1"/>
  <c r="K6" i="1" s="1"/>
  <c r="J12" i="1"/>
  <c r="K12" i="1" s="1"/>
  <c r="J3" i="1"/>
  <c r="K3" i="1" s="1"/>
  <c r="K17" i="1" s="1"/>
  <c r="K18" i="1" l="1"/>
</calcChain>
</file>

<file path=xl/sharedStrings.xml><?xml version="1.0" encoding="utf-8"?>
<sst xmlns="http://schemas.openxmlformats.org/spreadsheetml/2006/main" count="31" uniqueCount="29">
  <si>
    <t>이름</t>
  </si>
  <si>
    <t>국어</t>
  </si>
  <si>
    <t>영어</t>
  </si>
  <si>
    <t>수학</t>
  </si>
  <si>
    <t>반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</si>
  <si>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</si>
  <si>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</si>
  <si>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</si>
  <si>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</si>
  <si>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</si>
  <si>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</si>
  <si>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</si>
  <si>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</si>
  <si>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</si>
  <si>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</si>
  <si>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</si>
  <si>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</si>
  <si>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</si>
  <si>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</si>
  <si>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미응시</t>
  </si>
  <si>
    <t>최고점</t>
    <phoneticPr fontId="3" type="noConversion"/>
  </si>
  <si>
    <t>최저점</t>
    <phoneticPr fontId="3" type="noConversion"/>
  </si>
  <si>
    <t>평균</t>
    <phoneticPr fontId="3" type="noConversion"/>
  </si>
  <si>
    <t>총점</t>
    <phoneticPr fontId="3" type="noConversion"/>
  </si>
  <si>
    <t>순위</t>
    <phoneticPr fontId="3" type="noConversion"/>
  </si>
  <si>
    <t>장학금 여부</t>
    <phoneticPr fontId="3" type="noConversion"/>
  </si>
  <si>
    <t>장학금 수혜자 수</t>
    <phoneticPr fontId="3" type="noConversion"/>
  </si>
  <si>
    <t>총 학생 수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</si>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</sst>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&quot;맑은 고딕&quot;"/>
      <family val="3"/>
      <charset val="129"/>
    </font>
    <font>
      <sz val="8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C1" zoomScale="145" zoomScaleNormal="145" workbookViewId="0">
      <selection activeCell="K15" sqref="K15"/>
    </sheetView>
  </sheetViews>
  <sheetFormatPr defaultColWidth="12.5703125" defaultRowHeight="15" customHeight="1"/>
  <cols>
    <col min="1" max="1" width="5.85546875" customWidth="1"/>
    <col min="2" max="9" width="7.5703125" customWidth="1"/>
    <col min="10" max="10" width="19.140625" bestFit="1" customWidth="1"/>
    <col min="11" max="11" width="13.5703125" bestFit="1" customWidth="1"/>
    <col min="12" max="26" width="7.5703125" customWidth="1"/>
  </cols>
  <sheetData>
    <row r="1" spans="1:11" ht="16.5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4" t="s">
        <v>20</v>
      </c>
      <c r="G1" s="4" t="s">
        <v>21</v>
      </c>
      <c r="H1" s="4" t="s">
        <v>23</v>
      </c>
      <c r="I1" s="4" t="s">
        <v>22</v>
      </c>
      <c r="J1" s="4" t="s">
        <v>24</v>
      </c>
      <c r="K1" s="4" t="s">
        <v>25</v>
      </c>
    </row>
    <row r="2" spans="1:11" ht="16.5" customHeight="1">
      <c r="A2" s="1" t="s">
        <v>5</v>
      </c>
      <c r="B2" s="1">
        <v>51</v>
      </c>
      <c r="C2" s="1">
        <v>51</v>
      </c>
      <c r="D2" s="1">
        <v>94</v>
      </c>
      <c r="E2" s="7">
        <v>2</v>
      </c>
      <c r="F2">
        <f>MAX(B2:D2)</f>
        <v>94</v>
      </c>
      <c r="G2">
        <f>MIN(B2:D2)</f>
        <v>51</v>
      </c>
      <c r="H2" s="5">
        <f>SUM(B2:D2)</f>
        <v>196</v>
      </c>
      <c r="I2">
        <f>IFERROR(AVERAGE(B2:D2),"미응시")</f>
        <v>65.333333333333329</v>
      </c>
      <c r="J2">
        <f>_xlfn.RANK.EQ(I2, $I$2:$I$14, 0)</f>
        <v>8</v>
      </c>
      <c r="K2" s="8" t="str">
        <f>IF(J2&lt;=3,"가능","불가능")</f>
        <v>불가능</v>
      </c>
    </row>
    <row r="3" spans="1:11" ht="16.5" customHeight="1">
      <c r="A3" s="1" t="s">
        <v>6</v>
      </c>
      <c r="B3" s="1">
        <v>86</v>
      </c>
      <c r="C3" s="1">
        <v>95</v>
      </c>
      <c r="D3" s="1">
        <v>93</v>
      </c>
      <c r="E3" s="7">
        <v>3</v>
      </c>
      <c r="F3">
        <f t="shared" ref="F3:F15" si="0">MAX(B3:D3)</f>
        <v>95</v>
      </c>
      <c r="G3">
        <f t="shared" ref="G3:G15" si="1">MIN(B3:D3)</f>
        <v>86</v>
      </c>
      <c r="H3" s="5">
        <f t="shared" ref="H3:H15" si="2">SUM(B3:D3)</f>
        <v>274</v>
      </c>
      <c r="I3">
        <f t="shared" ref="I3:I15" si="3">IFERROR(AVERAGE(B3:D3),"미응시")</f>
        <v>91.333333333333329</v>
      </c>
      <c r="J3">
        <f t="shared" ref="J3:J14" si="4">_xlfn.RANK.EQ(I3, $I$2:$I$14, 0)</f>
        <v>2</v>
      </c>
      <c r="K3" s="8" t="str">
        <f t="shared" ref="K3:K15" si="5">IF(J3&lt;=3,"가능","불가능")</f>
        <v>가능</v>
      </c>
    </row>
    <row r="4" spans="1:11" ht="16.5" customHeight="1">
      <c r="A4" s="1" t="s">
        <v>7</v>
      </c>
      <c r="B4" s="1">
        <v>68</v>
      </c>
      <c r="C4" s="1">
        <v>57</v>
      </c>
      <c r="D4" s="1">
        <v>85</v>
      </c>
      <c r="E4" s="7">
        <v>1</v>
      </c>
      <c r="F4">
        <f t="shared" si="0"/>
        <v>85</v>
      </c>
      <c r="G4">
        <f t="shared" si="1"/>
        <v>57</v>
      </c>
      <c r="H4" s="5">
        <f t="shared" si="2"/>
        <v>210</v>
      </c>
      <c r="I4">
        <f t="shared" si="3"/>
        <v>70</v>
      </c>
      <c r="J4">
        <f t="shared" si="4"/>
        <v>5</v>
      </c>
      <c r="K4" s="8" t="str">
        <f t="shared" si="5"/>
        <v>불가능</v>
      </c>
    </row>
    <row r="5" spans="1:11" ht="16.5" customHeight="1">
      <c r="A5" s="1" t="s">
        <v>8</v>
      </c>
      <c r="B5" s="1">
        <v>80</v>
      </c>
      <c r="C5" s="1">
        <v>72</v>
      </c>
      <c r="D5" s="1">
        <v>60</v>
      </c>
      <c r="E5" s="7">
        <v>2</v>
      </c>
      <c r="F5">
        <f t="shared" si="0"/>
        <v>80</v>
      </c>
      <c r="G5">
        <f t="shared" si="1"/>
        <v>60</v>
      </c>
      <c r="H5" s="5">
        <f t="shared" si="2"/>
        <v>212</v>
      </c>
      <c r="I5">
        <f t="shared" si="3"/>
        <v>70.666666666666671</v>
      </c>
      <c r="J5">
        <f t="shared" si="4"/>
        <v>4</v>
      </c>
      <c r="K5" s="8" t="str">
        <f t="shared" si="5"/>
        <v>불가능</v>
      </c>
    </row>
    <row r="6" spans="1:11" ht="16.5" customHeight="1">
      <c r="A6" s="1" t="s">
        <v>9</v>
      </c>
      <c r="B6" s="1">
        <v>64</v>
      </c>
      <c r="C6" s="1">
        <v>63</v>
      </c>
      <c r="D6" s="1">
        <v>47</v>
      </c>
      <c r="E6" s="7">
        <v>3</v>
      </c>
      <c r="F6">
        <f t="shared" si="0"/>
        <v>64</v>
      </c>
      <c r="G6">
        <f t="shared" si="1"/>
        <v>47</v>
      </c>
      <c r="H6" s="5">
        <f t="shared" si="2"/>
        <v>174</v>
      </c>
      <c r="I6">
        <f t="shared" si="3"/>
        <v>58</v>
      </c>
      <c r="J6">
        <f t="shared" si="4"/>
        <v>13</v>
      </c>
      <c r="K6" s="8" t="str">
        <f t="shared" si="5"/>
        <v>불가능</v>
      </c>
    </row>
    <row r="7" spans="1:11" ht="16.5" customHeight="1">
      <c r="A7" s="1" t="s">
        <v>10</v>
      </c>
      <c r="B7" s="1">
        <v>73</v>
      </c>
      <c r="C7" s="1">
        <v>49</v>
      </c>
      <c r="D7" s="1">
        <v>72</v>
      </c>
      <c r="E7" s="7">
        <v>1</v>
      </c>
      <c r="F7">
        <f t="shared" si="0"/>
        <v>73</v>
      </c>
      <c r="G7">
        <f t="shared" si="1"/>
        <v>49</v>
      </c>
      <c r="H7" s="5">
        <f t="shared" si="2"/>
        <v>194</v>
      </c>
      <c r="I7">
        <f t="shared" si="3"/>
        <v>64.666666666666671</v>
      </c>
      <c r="J7">
        <f t="shared" si="4"/>
        <v>9</v>
      </c>
      <c r="K7" s="8" t="str">
        <f t="shared" si="5"/>
        <v>불가능</v>
      </c>
    </row>
    <row r="8" spans="1:11" ht="16.5" customHeight="1">
      <c r="A8" s="1" t="s">
        <v>11</v>
      </c>
      <c r="B8" s="1">
        <v>60</v>
      </c>
      <c r="C8" s="1">
        <v>85</v>
      </c>
      <c r="D8" s="1">
        <v>95</v>
      </c>
      <c r="E8" s="7">
        <v>2</v>
      </c>
      <c r="F8">
        <f t="shared" si="0"/>
        <v>95</v>
      </c>
      <c r="G8">
        <f t="shared" si="1"/>
        <v>60</v>
      </c>
      <c r="H8" s="5">
        <f t="shared" si="2"/>
        <v>240</v>
      </c>
      <c r="I8">
        <f t="shared" si="3"/>
        <v>80</v>
      </c>
      <c r="J8">
        <f t="shared" si="4"/>
        <v>3</v>
      </c>
      <c r="K8" s="8" t="str">
        <f t="shared" si="5"/>
        <v>가능</v>
      </c>
    </row>
    <row r="9" spans="1:11" ht="16.5" customHeight="1">
      <c r="A9" s="1" t="s">
        <v>12</v>
      </c>
      <c r="B9" s="1">
        <v>60</v>
      </c>
      <c r="C9" s="1">
        <v>94</v>
      </c>
      <c r="D9" s="1">
        <v>50</v>
      </c>
      <c r="E9" s="7">
        <v>3</v>
      </c>
      <c r="F9">
        <f t="shared" si="0"/>
        <v>94</v>
      </c>
      <c r="G9">
        <f t="shared" si="1"/>
        <v>50</v>
      </c>
      <c r="H9" s="5">
        <f t="shared" si="2"/>
        <v>204</v>
      </c>
      <c r="I9">
        <f t="shared" si="3"/>
        <v>68</v>
      </c>
      <c r="J9">
        <f t="shared" si="4"/>
        <v>6</v>
      </c>
      <c r="K9" s="8" t="str">
        <f t="shared" si="5"/>
        <v>불가능</v>
      </c>
    </row>
    <row r="10" spans="1:11" ht="16.5" customHeight="1">
      <c r="A10" s="1" t="s">
        <v>13</v>
      </c>
      <c r="B10" s="1">
        <v>82</v>
      </c>
      <c r="C10" s="1">
        <v>69</v>
      </c>
      <c r="D10" s="1">
        <v>41</v>
      </c>
      <c r="E10" s="7">
        <v>1</v>
      </c>
      <c r="F10">
        <f t="shared" si="0"/>
        <v>82</v>
      </c>
      <c r="G10">
        <f t="shared" si="1"/>
        <v>41</v>
      </c>
      <c r="H10" s="5">
        <f t="shared" si="2"/>
        <v>192</v>
      </c>
      <c r="I10">
        <f t="shared" si="3"/>
        <v>64</v>
      </c>
      <c r="J10">
        <f t="shared" si="4"/>
        <v>10</v>
      </c>
      <c r="K10" s="8" t="str">
        <f t="shared" si="5"/>
        <v>불가능</v>
      </c>
    </row>
    <row r="11" spans="1:11" ht="16.5" customHeight="1">
      <c r="A11" s="1" t="s">
        <v>14</v>
      </c>
      <c r="B11" s="1">
        <v>41</v>
      </c>
      <c r="C11" s="1">
        <v>96</v>
      </c>
      <c r="D11" s="1">
        <v>42</v>
      </c>
      <c r="E11" s="7">
        <v>2</v>
      </c>
      <c r="F11">
        <f t="shared" si="0"/>
        <v>96</v>
      </c>
      <c r="G11">
        <f t="shared" si="1"/>
        <v>41</v>
      </c>
      <c r="H11" s="5">
        <f t="shared" si="2"/>
        <v>179</v>
      </c>
      <c r="I11">
        <f t="shared" si="3"/>
        <v>59.666666666666664</v>
      </c>
      <c r="J11">
        <f t="shared" si="4"/>
        <v>12</v>
      </c>
      <c r="K11" s="8" t="str">
        <f t="shared" si="5"/>
        <v>불가능</v>
      </c>
    </row>
    <row r="12" spans="1:11" ht="16.5" customHeight="1">
      <c r="A12" s="1" t="s">
        <v>15</v>
      </c>
      <c r="B12" s="1">
        <v>91</v>
      </c>
      <c r="C12" s="1">
        <v>64</v>
      </c>
      <c r="D12" s="1">
        <v>44</v>
      </c>
      <c r="E12" s="7">
        <v>3</v>
      </c>
      <c r="F12">
        <f t="shared" si="0"/>
        <v>91</v>
      </c>
      <c r="G12">
        <f t="shared" si="1"/>
        <v>44</v>
      </c>
      <c r="H12" s="5">
        <f t="shared" si="2"/>
        <v>199</v>
      </c>
      <c r="I12">
        <f t="shared" si="3"/>
        <v>66.333333333333329</v>
      </c>
      <c r="J12">
        <f t="shared" si="4"/>
        <v>7</v>
      </c>
      <c r="K12" s="8" t="str">
        <f t="shared" si="5"/>
        <v>불가능</v>
      </c>
    </row>
    <row r="13" spans="1:11" ht="16.5" customHeight="1">
      <c r="A13" s="1" t="s">
        <v>16</v>
      </c>
      <c r="B13" s="1">
        <v>98</v>
      </c>
      <c r="C13" s="1">
        <v>91</v>
      </c>
      <c r="D13" s="1">
        <v>91</v>
      </c>
      <c r="E13" s="7">
        <v>1</v>
      </c>
      <c r="F13">
        <f t="shared" si="0"/>
        <v>98</v>
      </c>
      <c r="G13">
        <f t="shared" si="1"/>
        <v>91</v>
      </c>
      <c r="H13" s="5">
        <f t="shared" si="2"/>
        <v>280</v>
      </c>
      <c r="I13">
        <f t="shared" si="3"/>
        <v>93.333333333333329</v>
      </c>
      <c r="J13">
        <f t="shared" si="4"/>
        <v>1</v>
      </c>
      <c r="K13" s="8" t="str">
        <f t="shared" si="5"/>
        <v>가능</v>
      </c>
    </row>
    <row r="14" spans="1:11" ht="16.5" customHeight="1">
      <c r="A14" s="1" t="s">
        <v>17</v>
      </c>
      <c r="B14" s="1">
        <v>75</v>
      </c>
      <c r="C14" s="1">
        <v>66</v>
      </c>
      <c r="D14" s="1">
        <v>40</v>
      </c>
      <c r="E14" s="7">
        <v>2</v>
      </c>
      <c r="F14">
        <f t="shared" si="0"/>
        <v>75</v>
      </c>
      <c r="G14">
        <f t="shared" si="1"/>
        <v>40</v>
      </c>
      <c r="H14" s="5">
        <f t="shared" si="2"/>
        <v>181</v>
      </c>
      <c r="I14">
        <f t="shared" si="3"/>
        <v>60.333333333333336</v>
      </c>
      <c r="J14">
        <f t="shared" si="4"/>
        <v>11</v>
      </c>
      <c r="K14" s="8" t="str">
        <f t="shared" si="5"/>
        <v>불가능</v>
      </c>
    </row>
    <row r="15" spans="1:11" ht="16.5" customHeight="1">
      <c r="A15" s="2" t="s">
        <v>18</v>
      </c>
      <c r="B15" s="2" t="s">
        <v>19</v>
      </c>
      <c r="C15" s="2" t="s">
        <v>19</v>
      </c>
      <c r="D15" s="2" t="s">
        <v>19</v>
      </c>
      <c r="E15" s="3">
        <v>1</v>
      </c>
      <c r="F15">
        <f t="shared" si="0"/>
        <v>0</v>
      </c>
      <c r="G15">
        <f t="shared" si="1"/>
        <v>0</v>
      </c>
      <c r="H15" s="5">
        <f t="shared" si="2"/>
        <v>0</v>
      </c>
      <c r="I15" t="str">
        <f t="shared" si="3"/>
        <v>미응시</v>
      </c>
      <c r="J15" s="8" t="s">
        <v>28</v>
      </c>
      <c r="K15" s="8"/>
    </row>
    <row r="16" spans="1:11" ht="16.5" customHeight="1"/>
    <row r="17" spans="10:11" ht="16.5" customHeight="1">
      <c r="J17" s="4" t="s">
        <v>26</v>
      </c>
      <c r="K17">
        <f>COUNTIF(K2:K15,"가능")</f>
        <v>3</v>
      </c>
    </row>
    <row r="18" spans="10:11" ht="16.5" customHeight="1">
      <c r="J18" s="4" t="s">
        <v>27</v>
      </c>
      <c r="K18">
        <f>COUNTA(J2:J15)</f>
        <v>14</v>
      </c>
    </row>
    <row r="19" spans="10:11" ht="16.5" customHeight="1"/>
    <row r="20" spans="10:11" ht="16.5" customHeight="1"/>
    <row r="21" spans="10:11" ht="16.5" customHeight="1"/>
    <row r="22" spans="10:11" ht="16.5" customHeight="1"/>
    <row r="23" spans="10:11" ht="16.5" customHeight="1"/>
    <row r="24" spans="10:11" ht="16.5" customHeight="1"/>
    <row r="25" spans="10:11" ht="16.5" customHeight="1"/>
    <row r="26" spans="10:11" ht="16.5" customHeight="1"/>
    <row r="27" spans="10:11" ht="16.5" customHeight="1"/>
    <row r="28" spans="10:11" ht="16.5" customHeight="1"/>
    <row r="29" spans="10:11" ht="16.5" customHeight="1"/>
    <row r="30" spans="10:11" ht="16.5" customHeight="1"/>
    <row r="31" spans="10:11" ht="16.5" customHeight="1"/>
    <row r="32" spans="10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희경</dc:creator>
  <cp:lastModifiedBy>김규성</cp:lastModifiedBy>
  <dcterms:created xsi:type="dcterms:W3CDTF">2024-06-24T13:17:22Z</dcterms:created>
  <dcterms:modified xsi:type="dcterms:W3CDTF">2026-06-30T07:40:35Z</dcterms:modified>
</cp:coreProperties>
</file>